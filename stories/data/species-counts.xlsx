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kel329_csiro_au/Documents/Documents/ALA/Github/ala-labs/stories/data/"/>
    </mc:Choice>
  </mc:AlternateContent>
  <xr:revisionPtr revIDLastSave="204" documentId="8_{70756307-ED94-4C20-B09E-94818A13E256}" xr6:coauthVersionLast="47" xr6:coauthVersionMax="47" xr10:uidLastSave="{7B2303FE-D54D-4DFF-9A11-4656DD3E85F6}"/>
  <bookViews>
    <workbookView xWindow="-120" yWindow="-120" windowWidth="38640" windowHeight="21120" xr2:uid="{1A3363EC-B681-449B-8921-65DE3CA20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" l="1"/>
  <c r="H5" i="1"/>
  <c r="H69" i="1"/>
  <c r="H12" i="1"/>
  <c r="H70" i="1"/>
  <c r="H16" i="1"/>
  <c r="H71" i="1"/>
  <c r="H45" i="1"/>
  <c r="H72" i="1"/>
  <c r="H19" i="1"/>
  <c r="H73" i="1"/>
  <c r="H17" i="1"/>
  <c r="H74" i="1"/>
  <c r="H43" i="1"/>
  <c r="H75" i="1"/>
  <c r="H44" i="1"/>
  <c r="H76" i="1"/>
  <c r="H7" i="1"/>
  <c r="H77" i="1"/>
  <c r="H11" i="1"/>
  <c r="H78" i="1"/>
  <c r="H60" i="1"/>
  <c r="H79" i="1"/>
  <c r="H37" i="1"/>
  <c r="H80" i="1"/>
  <c r="H61" i="1"/>
  <c r="H81" i="1"/>
  <c r="H20" i="1"/>
  <c r="H82" i="1"/>
  <c r="H2" i="1"/>
  <c r="H83" i="1"/>
  <c r="H35" i="1"/>
  <c r="H84" i="1"/>
  <c r="H30" i="1"/>
  <c r="H85" i="1"/>
  <c r="H6" i="1"/>
  <c r="H86" i="1"/>
  <c r="H54" i="1"/>
  <c r="H87" i="1"/>
  <c r="H31" i="1"/>
  <c r="H88" i="1"/>
  <c r="H29" i="1"/>
  <c r="H89" i="1"/>
  <c r="H33" i="1"/>
  <c r="H90" i="1"/>
  <c r="H62" i="1"/>
  <c r="H91" i="1"/>
  <c r="H28" i="1"/>
  <c r="H92" i="1"/>
  <c r="H23" i="1"/>
  <c r="H93" i="1"/>
  <c r="H3" i="1"/>
  <c r="H94" i="1"/>
  <c r="H4" i="1"/>
  <c r="H95" i="1"/>
  <c r="H49" i="1"/>
  <c r="H96" i="1"/>
  <c r="H51" i="1"/>
  <c r="H97" i="1"/>
  <c r="H52" i="1"/>
  <c r="H98" i="1"/>
  <c r="H46" i="1"/>
  <c r="H99" i="1"/>
  <c r="H55" i="1"/>
  <c r="H100" i="1"/>
  <c r="H26" i="1"/>
  <c r="H101" i="1"/>
  <c r="H56" i="1"/>
  <c r="H102" i="1"/>
  <c r="H22" i="1"/>
  <c r="H103" i="1"/>
  <c r="H34" i="1"/>
  <c r="H104" i="1"/>
  <c r="H50" i="1"/>
  <c r="H105" i="1"/>
  <c r="H36" i="1"/>
  <c r="H106" i="1"/>
  <c r="H53" i="1"/>
  <c r="H107" i="1"/>
  <c r="H14" i="1"/>
  <c r="H108" i="1"/>
  <c r="H57" i="1"/>
  <c r="H109" i="1"/>
  <c r="H41" i="1"/>
  <c r="H110" i="1"/>
  <c r="H8" i="1"/>
  <c r="H111" i="1"/>
  <c r="H13" i="1"/>
  <c r="H112" i="1"/>
  <c r="H24" i="1"/>
  <c r="H113" i="1"/>
  <c r="H40" i="1"/>
  <c r="H114" i="1"/>
  <c r="H58" i="1"/>
  <c r="H115" i="1"/>
  <c r="H59" i="1"/>
  <c r="H116" i="1"/>
  <c r="H65" i="1"/>
  <c r="H117" i="1"/>
  <c r="H39" i="1"/>
  <c r="H118" i="1"/>
  <c r="H63" i="1"/>
  <c r="H119" i="1"/>
  <c r="H120" i="1"/>
  <c r="H18" i="1"/>
  <c r="H121" i="1"/>
  <c r="H47" i="1"/>
  <c r="H122" i="1"/>
  <c r="H9" i="1"/>
  <c r="H123" i="1"/>
  <c r="H10" i="1"/>
  <c r="H124" i="1"/>
  <c r="H66" i="1"/>
  <c r="H125" i="1"/>
  <c r="H64" i="1"/>
  <c r="H126" i="1"/>
  <c r="H15" i="1"/>
  <c r="H127" i="1"/>
  <c r="H48" i="1"/>
  <c r="H128" i="1"/>
  <c r="H25" i="1"/>
  <c r="H129" i="1"/>
  <c r="H27" i="1"/>
  <c r="H130" i="1"/>
  <c r="H38" i="1"/>
  <c r="H131" i="1"/>
  <c r="H32" i="1"/>
  <c r="H132" i="1"/>
  <c r="H21" i="1"/>
  <c r="H67" i="1"/>
  <c r="H42" i="1"/>
</calcChain>
</file>

<file path=xl/sharedStrings.xml><?xml version="1.0" encoding="utf-8"?>
<sst xmlns="http://schemas.openxmlformats.org/spreadsheetml/2006/main" count="271" uniqueCount="158">
  <si>
    <t>Carpet Python</t>
  </si>
  <si>
    <t>Morelia spilota</t>
  </si>
  <si>
    <t>Australian Pelican</t>
  </si>
  <si>
    <t>Pelecanus conspicillatus</t>
  </si>
  <si>
    <t>Rainbow Lorikeet</t>
  </si>
  <si>
    <t>Trichoglossus moluccanus</t>
  </si>
  <si>
    <t>Yellow crested cockatoo</t>
  </si>
  <si>
    <t>Cacatua galerita</t>
  </si>
  <si>
    <t>Red Tailed Black cockatoo</t>
  </si>
  <si>
    <t>Calyptorhynchus banksii</t>
  </si>
  <si>
    <t>Lace Monitor</t>
  </si>
  <si>
    <t>Varanus varius</t>
  </si>
  <si>
    <t xml:space="preserve">Magpie Goose </t>
  </si>
  <si>
    <t>Anseranas semipalmata</t>
  </si>
  <si>
    <t>Nankeen Kestral</t>
  </si>
  <si>
    <t>Falco cenchroides</t>
  </si>
  <si>
    <t>Brown Tree Snake</t>
  </si>
  <si>
    <t>Boiga irregularis</t>
  </si>
  <si>
    <t>Adam’s Snake Eye skink</t>
  </si>
  <si>
    <t>Cryptoblepharus adamsi</t>
  </si>
  <si>
    <t>Black Kite</t>
  </si>
  <si>
    <t>Milvus migrans</t>
  </si>
  <si>
    <t>forest kingfisher </t>
  </si>
  <si>
    <t>Koala</t>
  </si>
  <si>
    <t>Eastern Grey Kangaroo</t>
  </si>
  <si>
    <t>Macropus giganteus</t>
  </si>
  <si>
    <t>Spotted Quoll</t>
  </si>
  <si>
    <t>Dasyurus maculatus</t>
  </si>
  <si>
    <t>Wedgetail eagle</t>
  </si>
  <si>
    <t>Aquila audax</t>
  </si>
  <si>
    <t>Peaceful dove</t>
  </si>
  <si>
    <t>Geopelia placida</t>
  </si>
  <si>
    <t>Frilled Neck lizard</t>
  </si>
  <si>
    <t>Chlamydosaurus kingii</t>
  </si>
  <si>
    <t>Australian Green Tree frog</t>
  </si>
  <si>
    <t>Litoria caerulea</t>
  </si>
  <si>
    <t>Willie Wag Tail</t>
  </si>
  <si>
    <t>Rhipidura leucophrys</t>
  </si>
  <si>
    <t>Cairns Bird wing butterfly</t>
  </si>
  <si>
    <t>Ornithoptera euphorion</t>
  </si>
  <si>
    <t>Tawny Frog Mouth</t>
  </si>
  <si>
    <t>Podargus strigoides</t>
  </si>
  <si>
    <t>Scarlet Percher dragonfly</t>
  </si>
  <si>
    <t>Diplacodes haematodes</t>
  </si>
  <si>
    <t>Blue Skimmer dragon fly</t>
  </si>
  <si>
    <t>Orthetrum caledonicum</t>
  </si>
  <si>
    <t>Giant gudgeon</t>
  </si>
  <si>
    <t>Oxyeleotris selheimi</t>
  </si>
  <si>
    <t>Australian hobby</t>
  </si>
  <si>
    <t>Falco longipennis</t>
  </si>
  <si>
    <t>Brown Falcon</t>
  </si>
  <si>
    <t>Falco berigora</t>
  </si>
  <si>
    <t>Magpie Lark</t>
  </si>
  <si>
    <t>Grallina cyanoleuca</t>
  </si>
  <si>
    <t>Yellow honey eater</t>
  </si>
  <si>
    <t>Stomiopera flava</t>
  </si>
  <si>
    <t>Spangled Perch</t>
  </si>
  <si>
    <t>Leiopotherapon unicolor</t>
  </si>
  <si>
    <t xml:space="preserve"> Northern Yellow-faced turtle</t>
  </si>
  <si>
    <t>Emydura tanybaraga</t>
  </si>
  <si>
    <t>Long fin eel</t>
  </si>
  <si>
    <t>Anguilla reinhardtii</t>
  </si>
  <si>
    <t>Melanotaenia eachamensis</t>
  </si>
  <si>
    <t>Playtpus</t>
  </si>
  <si>
    <t>Ornithorhynchus anatinus</t>
  </si>
  <si>
    <t>Little Corella</t>
  </si>
  <si>
    <t>Cacatua sanguinea</t>
  </si>
  <si>
    <t>Northern Leaf Tail gecko</t>
  </si>
  <si>
    <t>Saltuarius cornutus</t>
  </si>
  <si>
    <t>Galah</t>
  </si>
  <si>
    <t>Eolophus roseicapilla</t>
  </si>
  <si>
    <t>Northern Quall</t>
  </si>
  <si>
    <t>Dasyurus hallucatus</t>
  </si>
  <si>
    <t>Ulysses Butterfly</t>
  </si>
  <si>
    <t>Papilio ulysses</t>
  </si>
  <si>
    <t>Northern Brown bandicoot</t>
  </si>
  <si>
    <t>Isoodon macrourus</t>
  </si>
  <si>
    <t>Sooty grunter</t>
  </si>
  <si>
    <t>Hephaestus fuliginosus</t>
  </si>
  <si>
    <t>Crested dove</t>
  </si>
  <si>
    <t>Tiliqua scincoides</t>
  </si>
  <si>
    <t>Spectacle flying fox</t>
  </si>
  <si>
    <t>Pteropus conspicillatus</t>
  </si>
  <si>
    <t>Laughing Kookaburra</t>
  </si>
  <si>
    <t>Dacelo novaeguineae</t>
  </si>
  <si>
    <t>Dacelo leachii</t>
  </si>
  <si>
    <t>Mareeba rock wallaby</t>
  </si>
  <si>
    <t>Petrogale mareeba</t>
  </si>
  <si>
    <t>Graphic flutter</t>
  </si>
  <si>
    <t>Rhyothemis graphiptera</t>
  </si>
  <si>
    <t>Sleepy Cod</t>
  </si>
  <si>
    <t>oxyeleotris lineolata</t>
  </si>
  <si>
    <t>Common Wallaroo</t>
  </si>
  <si>
    <t>Macropus robustus</t>
  </si>
  <si>
    <t>Eastern Cave Bat</t>
  </si>
  <si>
    <t>Vespadelus troughtoni</t>
  </si>
  <si>
    <t>Saw-shelled Turtle</t>
  </si>
  <si>
    <t>Myuchelys latisternum</t>
  </si>
  <si>
    <t>Plotosus Canius</t>
  </si>
  <si>
    <t>Bush Stone Curlew</t>
  </si>
  <si>
    <t>Burhinus grallarius</t>
  </si>
  <si>
    <t>Yellow faced whip snake</t>
  </si>
  <si>
    <t>Demansia psammophis</t>
  </si>
  <si>
    <t>Australiasian Fig Bird</t>
  </si>
  <si>
    <t>Sphecotheres vieilloti</t>
  </si>
  <si>
    <t>Bar Shouldered dove</t>
  </si>
  <si>
    <t>Geopelia humeralis</t>
  </si>
  <si>
    <t>Tree Kangaroo</t>
  </si>
  <si>
    <t xml:space="preserve">Dendrolagus </t>
  </si>
  <si>
    <t>Antechinus godmani</t>
  </si>
  <si>
    <t>Great Bower Bird</t>
  </si>
  <si>
    <t>Chlamydera nuchalis</t>
  </si>
  <si>
    <t>Tachyglossidae</t>
  </si>
  <si>
    <t>White bellied Sea Eagle</t>
  </si>
  <si>
    <t>Haliaeetus leucogaster</t>
  </si>
  <si>
    <t>Brown Gosshawk</t>
  </si>
  <si>
    <t>Accipiter fasciatus</t>
  </si>
  <si>
    <t>Common Brush tail possum</t>
  </si>
  <si>
    <t>Trichosurus vulpecula</t>
  </si>
  <si>
    <t>Graceful tree frog</t>
  </si>
  <si>
    <t>Litoria gracilenta</t>
  </si>
  <si>
    <t>(Todiramphus macleayii)</t>
  </si>
  <si>
    <t> (Phascolarctos cinereus</t>
  </si>
  <si>
    <t>Ocyphaps lophotids)</t>
  </si>
  <si>
    <t>Jan-Feb</t>
  </si>
  <si>
    <t>May-Jun</t>
  </si>
  <si>
    <t>Jul-Aug</t>
  </si>
  <si>
    <t>Nov-Dec</t>
  </si>
  <si>
    <t>Total</t>
  </si>
  <si>
    <t>scientific_name</t>
  </si>
  <si>
    <t>name</t>
  </si>
  <si>
    <t>Lichenostomus flavus</t>
  </si>
  <si>
    <t>Todiramphus macleayii</t>
  </si>
  <si>
    <t>Cacatua sulphurea</t>
  </si>
  <si>
    <t>Blue winged kookaburra</t>
  </si>
  <si>
    <t>Ocyphaps lophotes</t>
  </si>
  <si>
    <t>Lake Eacham Rainbowfish</t>
  </si>
  <si>
    <t>Tachyglossus aculeatus</t>
  </si>
  <si>
    <t>Short-beaked Echidna</t>
  </si>
  <si>
    <t>Anguilla reinhardtii</t>
  </si>
  <si>
    <t>Eastern blue-tongue lizard</t>
  </si>
  <si>
    <t>Oxyeleotris lineolata</t>
  </si>
  <si>
    <t>Osphranter robustus</t>
  </si>
  <si>
    <t>Phascolarctos cinereus</t>
  </si>
  <si>
    <t>Tandanus tandanus</t>
  </si>
  <si>
    <t>Eel-tailed Catfish</t>
  </si>
  <si>
    <t>Godman’s Antechinus</t>
  </si>
  <si>
    <t>Dendrolagus lumholtzi</t>
  </si>
  <si>
    <t>group</t>
  </si>
  <si>
    <t>bird</t>
  </si>
  <si>
    <t>insect</t>
  </si>
  <si>
    <t>amphibian</t>
  </si>
  <si>
    <t>mammal</t>
  </si>
  <si>
    <t>reptile</t>
  </si>
  <si>
    <t>fish</t>
  </si>
  <si>
    <t>monotreme</t>
  </si>
  <si>
    <t>Sept-Oct</t>
  </si>
  <si>
    <t>Mar-Apr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</si>
</sst>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Yellow crested cockatoo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Sheet1!$B$12:$G$12</c:f>
              <c:numCache>
                <c:formatCode>General</c:formatCode>
                <c:ptCount val="6"/>
                <c:pt idx="0">
                  <c:v>228</c:v>
                </c:pt>
                <c:pt idx="1">
                  <c:v>337</c:v>
                </c:pt>
                <c:pt idx="2">
                  <c:v>487</c:v>
                </c:pt>
                <c:pt idx="3">
                  <c:v>575</c:v>
                </c:pt>
                <c:pt idx="4">
                  <c:v>465</c:v>
                </c:pt>
                <c:pt idx="5">
                  <c:v>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40-47E8-A106-EDB6E1D741CC}"/>
            </c:ext>
          </c:extLst>
        </c:ser>
        <c:ser>
          <c:idx val="1"/>
          <c:order val="1"/>
          <c:tx>
            <c:strRef>
              <c:f>Sheet1!$A$16</c:f>
              <c:strCache>
                <c:ptCount val="1"/>
                <c:pt idx="0">
                  <c:v>Red Tailed Black cockatoo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Sheet1!$B$16:$G$16</c:f>
              <c:numCache>
                <c:formatCode>General</c:formatCode>
                <c:ptCount val="6"/>
                <c:pt idx="0">
                  <c:v>88</c:v>
                </c:pt>
                <c:pt idx="1">
                  <c:v>63</c:v>
                </c:pt>
                <c:pt idx="2">
                  <c:v>318</c:v>
                </c:pt>
                <c:pt idx="3">
                  <c:v>513</c:v>
                </c:pt>
                <c:pt idx="4">
                  <c:v>667</c:v>
                </c:pt>
                <c:pt idx="5">
                  <c:v>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40-47E8-A106-EDB6E1D741CC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Magpie Goose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Sheet1!$B$19:$G$19</c:f>
              <c:numCache>
                <c:formatCode>General</c:formatCode>
                <c:ptCount val="6"/>
                <c:pt idx="0">
                  <c:v>335</c:v>
                </c:pt>
                <c:pt idx="1">
                  <c:v>165</c:v>
                </c:pt>
                <c:pt idx="2">
                  <c:v>95</c:v>
                </c:pt>
                <c:pt idx="3">
                  <c:v>157</c:v>
                </c:pt>
                <c:pt idx="4">
                  <c:v>250</c:v>
                </c:pt>
                <c:pt idx="5">
                  <c:v>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40-47E8-A106-EDB6E1D741CC}"/>
            </c:ext>
          </c:extLst>
        </c:ser>
        <c:ser>
          <c:idx val="3"/>
          <c:order val="3"/>
          <c:tx>
            <c:strRef>
              <c:f>Sheet1!$A$21</c:f>
              <c:strCache>
                <c:ptCount val="1"/>
                <c:pt idx="0">
                  <c:v>Australian Pelican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Sheet1!$B$21:$G$21</c:f>
              <c:numCache>
                <c:formatCode>General</c:formatCode>
                <c:ptCount val="6"/>
                <c:pt idx="0">
                  <c:v>51</c:v>
                </c:pt>
                <c:pt idx="1">
                  <c:v>19</c:v>
                </c:pt>
                <c:pt idx="2">
                  <c:v>77</c:v>
                </c:pt>
                <c:pt idx="3">
                  <c:v>220</c:v>
                </c:pt>
                <c:pt idx="4">
                  <c:v>210</c:v>
                </c:pt>
                <c:pt idx="5">
                  <c:v>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40-47E8-A106-EDB6E1D741CC}"/>
            </c:ext>
          </c:extLst>
        </c:ser>
        <c:ser>
          <c:idx val="4"/>
          <c:order val="4"/>
          <c:tx>
            <c:strRef>
              <c:f>Sheet1!$A$22</c:f>
              <c:strCache>
                <c:ptCount val="1"/>
                <c:pt idx="0">
                  <c:v>Galah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Sheet1!$B$22:$G$22</c:f>
              <c:numCache>
                <c:formatCode>General</c:formatCode>
                <c:ptCount val="6"/>
                <c:pt idx="0">
                  <c:v>73</c:v>
                </c:pt>
                <c:pt idx="1">
                  <c:v>66</c:v>
                </c:pt>
                <c:pt idx="2">
                  <c:v>113</c:v>
                </c:pt>
                <c:pt idx="3">
                  <c:v>123</c:v>
                </c:pt>
                <c:pt idx="4">
                  <c:v>108</c:v>
                </c:pt>
                <c:pt idx="5">
                  <c:v>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40-47E8-A106-EDB6E1D741CC}"/>
            </c:ext>
          </c:extLst>
        </c:ser>
        <c:ser>
          <c:idx val="5"/>
          <c:order val="5"/>
          <c:tx>
            <c:strRef>
              <c:f>Sheet1!$A$26</c:f>
              <c:strCache>
                <c:ptCount val="1"/>
                <c:pt idx="0">
                  <c:v>Little Corella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Sheet1!$B$26:$G$26</c:f>
              <c:numCache>
                <c:formatCode>General</c:formatCode>
                <c:ptCount val="6"/>
                <c:pt idx="0">
                  <c:v>35</c:v>
                </c:pt>
                <c:pt idx="1">
                  <c:v>32</c:v>
                </c:pt>
                <c:pt idx="2">
                  <c:v>43</c:v>
                </c:pt>
                <c:pt idx="3">
                  <c:v>69</c:v>
                </c:pt>
                <c:pt idx="4">
                  <c:v>149</c:v>
                </c:pt>
                <c:pt idx="5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40-47E8-A106-EDB6E1D74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128639"/>
        <c:axId val="1013125759"/>
      </c:scatterChart>
      <c:valAx>
        <c:axId val="1013128639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Months (grouped</a:t>
                </a:r>
                <a:r>
                  <a:rPr lang="en-AU" baseline="0"/>
                  <a:t> by 2)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25759"/>
        <c:crosses val="autoZero"/>
        <c:crossBetween val="midCat"/>
      </c:valAx>
      <c:valAx>
        <c:axId val="101312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28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The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(Sheet1!$A$2,Sheet1!$A$3,Sheet1!$A$29,Sheet1!$A$30,Sheet1!$A$32,Sheet1!$A$33,Sheet1!$A$34,Sheet1!$A$35,Sheet1!$A$36,Sheet1!$A$39)</c:f>
              <c:strCache>
                <c:ptCount val="10"/>
                <c:pt idx="0">
                  <c:v>Peaceful dove</c:v>
                </c:pt>
                <c:pt idx="1">
                  <c:v>Magpie Lark</c:v>
                </c:pt>
                <c:pt idx="2">
                  <c:v>Scarlet Percher dragonfly</c:v>
                </c:pt>
                <c:pt idx="3">
                  <c:v>Australian Green Tree frog</c:v>
                </c:pt>
                <c:pt idx="4">
                  <c:v>Graceful tree frog</c:v>
                </c:pt>
                <c:pt idx="5">
                  <c:v>Blue Skimmer dragon fly</c:v>
                </c:pt>
                <c:pt idx="6">
                  <c:v>Northern Quall</c:v>
                </c:pt>
                <c:pt idx="7">
                  <c:v>Frilled Neck lizard</c:v>
                </c:pt>
                <c:pt idx="8">
                  <c:v>Northern Brown bandicoot</c:v>
                </c:pt>
                <c:pt idx="9">
                  <c:v>Saw-shelled Turtle</c:v>
                </c:pt>
              </c:strCache>
            </c:strRef>
          </c:cat>
          <c:val>
            <c:numRef>
              <c:f>(Sheet1!$H$2,Sheet1!$H$3,Sheet1!$H$29,Sheet1!$H$30,Sheet1!$H$32,Sheet1!$H$33,Sheet1!$H$34,Sheet1!$H$35,Sheet1!$H$36,Sheet1!$H$39)</c:f>
              <c:numCache>
                <c:formatCode>General</c:formatCode>
                <c:ptCount val="10"/>
                <c:pt idx="0">
                  <c:v>6299</c:v>
                </c:pt>
                <c:pt idx="1">
                  <c:v>5329</c:v>
                </c:pt>
                <c:pt idx="2">
                  <c:v>263</c:v>
                </c:pt>
                <c:pt idx="3">
                  <c:v>227</c:v>
                </c:pt>
                <c:pt idx="4">
                  <c:v>198</c:v>
                </c:pt>
                <c:pt idx="5">
                  <c:v>120</c:v>
                </c:pt>
                <c:pt idx="6">
                  <c:v>95</c:v>
                </c:pt>
                <c:pt idx="7">
                  <c:v>87</c:v>
                </c:pt>
                <c:pt idx="8">
                  <c:v>81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F-4FF1-987C-074A0892F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637679"/>
        <c:axId val="1083632879"/>
      </c:barChart>
      <c:catAx>
        <c:axId val="108363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32879"/>
        <c:crosses val="autoZero"/>
        <c:auto val="1"/>
        <c:lblAlgn val="ctr"/>
        <c:lblOffset val="100"/>
        <c:noMultiLvlLbl val="0"/>
      </c:catAx>
      <c:valAx>
        <c:axId val="10836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3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Commonly</a:t>
            </a:r>
            <a:r>
              <a:rPr lang="en-AU" baseline="0"/>
              <a:t> seens vs Travelling Birds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7.8277552798080158E-2"/>
          <c:y val="2.6073409234221859E-2"/>
          <c:w val="0.87070790706034851"/>
          <c:h val="0.83803798483253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Peaceful dove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Sheet1!$B$2:$G$2</c:f>
              <c:numCache>
                <c:formatCode>General</c:formatCode>
                <c:ptCount val="6"/>
                <c:pt idx="0">
                  <c:v>881</c:v>
                </c:pt>
                <c:pt idx="1">
                  <c:v>830</c:v>
                </c:pt>
                <c:pt idx="2">
                  <c:v>908</c:v>
                </c:pt>
                <c:pt idx="3">
                  <c:v>1267</c:v>
                </c:pt>
                <c:pt idx="4">
                  <c:v>1349</c:v>
                </c:pt>
                <c:pt idx="5">
                  <c:v>1064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F3-427C-BDE7-60220B032559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Magpie Lark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Sheet1!$B$3:$G$3</c:f>
              <c:numCache>
                <c:formatCode>General</c:formatCode>
                <c:ptCount val="6"/>
                <c:pt idx="0">
                  <c:v>787</c:v>
                </c:pt>
                <c:pt idx="1">
                  <c:v>715</c:v>
                </c:pt>
                <c:pt idx="2">
                  <c:v>944</c:v>
                </c:pt>
                <c:pt idx="3">
                  <c:v>1001</c:v>
                </c:pt>
                <c:pt idx="4">
                  <c:v>991</c:v>
                </c:pt>
                <c:pt idx="5">
                  <c:v>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F3-427C-BDE7-60220B032559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Yellow honey eater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multiLvlStrRef>
              <c:f>Sheet1!$B$1:$G$2</c:f>
              <c:multiLvlStrCache>
                <c:ptCount val="6"/>
                <c:lvl>
                  <c:pt idx="0">
                    <c:v>881</c:v>
                  </c:pt>
                  <c:pt idx="1">
                    <c:v>830</c:v>
                  </c:pt>
                  <c:pt idx="2">
                    <c:v>908</c:v>
                  </c:pt>
                  <c:pt idx="3">
                    <c:v>1267</c:v>
                  </c:pt>
                  <c:pt idx="4">
                    <c:v>1349</c:v>
                  </c:pt>
                  <c:pt idx="5">
                    <c:v>1064</c:v>
                  </c:pt>
                </c:lvl>
                <c:lvl>
                  <c:pt idx="0">
                    <c:v>Jan-Feb</c:v>
                  </c:pt>
                  <c:pt idx="1">
                    <c:v>Mar-Apr</c:v>
                  </c:pt>
                  <c:pt idx="2">
                    <c:v>May-Jun</c:v>
                  </c:pt>
                  <c:pt idx="3">
                    <c:v>Jul-Aug</c:v>
                  </c:pt>
                  <c:pt idx="4">
                    <c:v>Sept-Oct</c:v>
                  </c:pt>
                  <c:pt idx="5">
                    <c:v>Nov-Dec</c:v>
                  </c:pt>
                </c:lvl>
              </c:multiLvlStrCache>
            </c:multiLvlStrRef>
          </c:xVal>
          <c:yVal>
            <c:numRef>
              <c:f>Sheet1!$B$4:$G$4</c:f>
              <c:numCache>
                <c:formatCode>General</c:formatCode>
                <c:ptCount val="6"/>
                <c:pt idx="0">
                  <c:v>739</c:v>
                </c:pt>
                <c:pt idx="1">
                  <c:v>634</c:v>
                </c:pt>
                <c:pt idx="2">
                  <c:v>771</c:v>
                </c:pt>
                <c:pt idx="3">
                  <c:v>1017</c:v>
                </c:pt>
                <c:pt idx="4">
                  <c:v>1125</c:v>
                </c:pt>
                <c:pt idx="5">
                  <c:v>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F3-427C-BDE7-60220B032559}"/>
            </c:ext>
          </c:extLst>
        </c:ser>
        <c:ser>
          <c:idx val="3"/>
          <c:order val="3"/>
          <c:tx>
            <c:strRef>
              <c:f>Sheet1!$A$12</c:f>
              <c:strCache>
                <c:ptCount val="1"/>
                <c:pt idx="0">
                  <c:v>Yellow crested cockatoo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Sheet1!$B$12:$G$12</c:f>
              <c:numCache>
                <c:formatCode>General</c:formatCode>
                <c:ptCount val="6"/>
                <c:pt idx="0">
                  <c:v>228</c:v>
                </c:pt>
                <c:pt idx="1">
                  <c:v>337</c:v>
                </c:pt>
                <c:pt idx="2">
                  <c:v>487</c:v>
                </c:pt>
                <c:pt idx="3">
                  <c:v>575</c:v>
                </c:pt>
                <c:pt idx="4">
                  <c:v>465</c:v>
                </c:pt>
                <c:pt idx="5">
                  <c:v>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F3-427C-BDE7-60220B032559}"/>
            </c:ext>
          </c:extLst>
        </c:ser>
        <c:ser>
          <c:idx val="4"/>
          <c:order val="4"/>
          <c:tx>
            <c:strRef>
              <c:f>Sheet1!$A$16</c:f>
              <c:strCache>
                <c:ptCount val="1"/>
                <c:pt idx="0">
                  <c:v>Red Tailed Black cockatoo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Sheet1!$B$16:$G$16</c:f>
              <c:numCache>
                <c:formatCode>General</c:formatCode>
                <c:ptCount val="6"/>
                <c:pt idx="0">
                  <c:v>88</c:v>
                </c:pt>
                <c:pt idx="1">
                  <c:v>63</c:v>
                </c:pt>
                <c:pt idx="2">
                  <c:v>318</c:v>
                </c:pt>
                <c:pt idx="3">
                  <c:v>513</c:v>
                </c:pt>
                <c:pt idx="4">
                  <c:v>667</c:v>
                </c:pt>
                <c:pt idx="5">
                  <c:v>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F3-427C-BDE7-60220B032559}"/>
            </c:ext>
          </c:extLst>
        </c:ser>
        <c:ser>
          <c:idx val="5"/>
          <c:order val="5"/>
          <c:tx>
            <c:strRef>
              <c:f>Sheet1!$A$19</c:f>
              <c:strCache>
                <c:ptCount val="1"/>
                <c:pt idx="0">
                  <c:v>Magpie Goose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Sheet1!$B$1:$G$1</c:f>
              <c:strCache>
                <c:ptCount val="6"/>
                <c:pt idx="0">
                  <c:v>Jan-Feb</c:v>
                </c:pt>
                <c:pt idx="1">
                  <c:v>Mar-Apr</c:v>
                </c:pt>
                <c:pt idx="2">
                  <c:v>May-Jun</c:v>
                </c:pt>
                <c:pt idx="3">
                  <c:v>Jul-Aug</c:v>
                </c:pt>
                <c:pt idx="4">
                  <c:v>Sept-Oct</c:v>
                </c:pt>
                <c:pt idx="5">
                  <c:v>Nov-Dec</c:v>
                </c:pt>
              </c:strCache>
            </c:strRef>
          </c:xVal>
          <c:yVal>
            <c:numRef>
              <c:f>Sheet1!$B$19:$G$19</c:f>
              <c:numCache>
                <c:formatCode>General</c:formatCode>
                <c:ptCount val="6"/>
                <c:pt idx="0">
                  <c:v>335</c:v>
                </c:pt>
                <c:pt idx="1">
                  <c:v>165</c:v>
                </c:pt>
                <c:pt idx="2">
                  <c:v>95</c:v>
                </c:pt>
                <c:pt idx="3">
                  <c:v>157</c:v>
                </c:pt>
                <c:pt idx="4">
                  <c:v>250</c:v>
                </c:pt>
                <c:pt idx="5">
                  <c:v>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F3-427C-BDE7-60220B032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95439"/>
        <c:axId val="1498388239"/>
      </c:scatterChart>
      <c:valAx>
        <c:axId val="1498395439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 (grouped by 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88239"/>
        <c:crosses val="autoZero"/>
        <c:crossBetween val="midCat"/>
        <c:majorUnit val="1"/>
        <c:minorUnit val="1"/>
      </c:valAx>
      <c:valAx>
        <c:axId val="149838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95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366992</xdr:colOff>
      <xdr:row>0</xdr:row>
      <xdr:rowOff>20263</xdr:rowOff>
    </xdr:from>
    <xdr:to>
      <xdr:col>21</xdr:col>
      <xdr:colOff>579530</xdr:colOff>
      <xdr:row>16</xdr:row>
      <xdr:rowOff>176866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14ED50-EE66-C642-300D-CCECFC8BC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481854</xdr:colOff>
      <xdr:row>19</xdr:row>
      <xdr:rowOff>120648</xdr:rowOff>
    </xdr:from>
    <xdr:to>
      <xdr:col>23</xdr:col>
      <xdr:colOff>433856</xdr:colOff>
      <xdr:row>37</xdr:row>
      <xdr:rowOff>164352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6E61F0-08D7-189F-B485-63F183B55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23559</xdr:colOff>
      <xdr:row>42</xdr:row>
      <xdr:rowOff>19782</xdr:rowOff>
    </xdr:from>
    <xdr:to>
      <xdr:col>24</xdr:col>
      <xdr:colOff>77229</xdr:colOff>
      <xdr:row>65</xdr:row>
      <xdr:rowOff>25744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45BA86-A2FC-3A1B-9C9A-CF81C6C49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CF2C-1138-4679-9C2D-3993A638E792}">
  <dimension ref="A1:J132"/>
  <sheetViews>
    <sheetView tabSelected="1" zoomScale="74" zoomScaleNormal="85" workbookViewId="0">
      <selection activeCell="J2" sqref="J2"/>
    </sheetView>
  </sheetViews>
  <sheetFormatPr defaultRowHeight="15" x14ac:dyDescent="0.25"/>
  <cols>
    <col min="1" max="1" width="23.7109375" customWidth="1"/>
    <col min="3" max="3" width="11.140625" customWidth="1"/>
    <col min="7" max="7" width="8.7109375" customWidth="1"/>
    <col min="9" max="9" width="27.7109375" customWidth="1"/>
  </cols>
  <sheetData>
    <row r="1" spans="1:10" x14ac:dyDescent="0.25">
      <c r="A1" t="s">
        <v>130</v>
      </c>
      <c r="B1" s="7" t="s">
        <v>124</v>
      </c>
      <c r="C1" t="s">
        <v>157</v>
      </c>
      <c r="D1" t="s">
        <v>125</v>
      </c>
      <c r="E1" t="s">
        <v>126</v>
      </c>
      <c r="F1" t="s">
        <v>156</v>
      </c>
      <c r="G1" t="s">
        <v>127</v>
      </c>
      <c r="H1" t="s">
        <v>128</v>
      </c>
      <c r="I1" t="s">
        <v>129</v>
      </c>
      <c r="J1" t="s">
        <v>148</v>
      </c>
    </row>
    <row r="2" spans="1:10" x14ac:dyDescent="0.25">
      <c r="A2" s="1" t="s">
        <v>30</v>
      </c>
      <c r="B2" s="1">
        <v>881</v>
      </c>
      <c r="C2" s="1">
        <v>830</v>
      </c>
      <c r="D2" s="1">
        <v>908</v>
      </c>
      <c r="E2" s="1">
        <v>1267</v>
      </c>
      <c r="F2" s="1">
        <v>1349</v>
      </c>
      <c r="G2" s="1">
        <v>1064</v>
      </c>
      <c r="H2" s="1">
        <f t="shared" ref="H2:H33" si="0">B2+C2+D2+E2+F2+G2</f>
        <v>6299</v>
      </c>
      <c r="I2" t="s">
        <v>31</v>
      </c>
      <c r="J2" t="s">
        <v>149</v>
      </c>
    </row>
    <row r="3" spans="1:10" x14ac:dyDescent="0.25">
      <c r="A3" s="1" t="s">
        <v>52</v>
      </c>
      <c r="B3" s="1">
        <v>787</v>
      </c>
      <c r="C3" s="1">
        <v>715</v>
      </c>
      <c r="D3" s="1">
        <v>944</v>
      </c>
      <c r="E3" s="1">
        <v>1001</v>
      </c>
      <c r="F3" s="1">
        <v>991</v>
      </c>
      <c r="G3" s="1">
        <v>891</v>
      </c>
      <c r="H3" s="1">
        <f t="shared" si="0"/>
        <v>5329</v>
      </c>
      <c r="I3" t="s">
        <v>53</v>
      </c>
      <c r="J3" t="s">
        <v>149</v>
      </c>
    </row>
    <row r="4" spans="1:10" x14ac:dyDescent="0.25">
      <c r="A4" s="1" t="s">
        <v>54</v>
      </c>
      <c r="B4" s="1">
        <v>739</v>
      </c>
      <c r="C4" s="1">
        <v>634</v>
      </c>
      <c r="D4" s="1">
        <v>771</v>
      </c>
      <c r="E4" s="1">
        <v>1017</v>
      </c>
      <c r="F4" s="1">
        <v>1125</v>
      </c>
      <c r="G4" s="1">
        <v>916</v>
      </c>
      <c r="H4" s="1">
        <f t="shared" si="0"/>
        <v>5202</v>
      </c>
      <c r="I4" t="s">
        <v>131</v>
      </c>
      <c r="J4" t="s">
        <v>149</v>
      </c>
    </row>
    <row r="5" spans="1:10" x14ac:dyDescent="0.25">
      <c r="A5" s="1" t="s">
        <v>4</v>
      </c>
      <c r="B5" s="1">
        <v>638</v>
      </c>
      <c r="C5" s="1">
        <v>589</v>
      </c>
      <c r="D5" s="1">
        <v>871</v>
      </c>
      <c r="E5" s="1">
        <v>1067</v>
      </c>
      <c r="F5" s="1">
        <v>1025</v>
      </c>
      <c r="G5" s="1">
        <v>769</v>
      </c>
      <c r="H5" s="1">
        <f t="shared" si="0"/>
        <v>4959</v>
      </c>
      <c r="I5" t="s">
        <v>5</v>
      </c>
      <c r="J5" t="s">
        <v>149</v>
      </c>
    </row>
    <row r="6" spans="1:10" x14ac:dyDescent="0.25">
      <c r="A6" s="1" t="s">
        <v>36</v>
      </c>
      <c r="B6" s="1">
        <v>585</v>
      </c>
      <c r="C6" s="1">
        <v>573</v>
      </c>
      <c r="D6" s="1">
        <v>756</v>
      </c>
      <c r="E6" s="1">
        <v>957</v>
      </c>
      <c r="F6" s="1">
        <v>876</v>
      </c>
      <c r="G6" s="1">
        <v>778</v>
      </c>
      <c r="H6" s="1">
        <f t="shared" si="0"/>
        <v>4525</v>
      </c>
      <c r="I6" t="s">
        <v>37</v>
      </c>
      <c r="J6" t="s">
        <v>149</v>
      </c>
    </row>
    <row r="7" spans="1:10" x14ac:dyDescent="0.25">
      <c r="A7" s="1" t="s">
        <v>20</v>
      </c>
      <c r="B7" s="1">
        <v>519</v>
      </c>
      <c r="C7" s="1">
        <v>477</v>
      </c>
      <c r="D7" s="1">
        <v>775</v>
      </c>
      <c r="E7" s="1">
        <v>930</v>
      </c>
      <c r="F7" s="1">
        <v>871</v>
      </c>
      <c r="G7" s="1">
        <v>542</v>
      </c>
      <c r="H7" s="1">
        <f t="shared" si="0"/>
        <v>4114</v>
      </c>
      <c r="I7" t="s">
        <v>21</v>
      </c>
      <c r="J7" t="s">
        <v>149</v>
      </c>
    </row>
    <row r="8" spans="1:10" x14ac:dyDescent="0.25">
      <c r="A8" s="1" t="s">
        <v>83</v>
      </c>
      <c r="B8" s="1">
        <v>444</v>
      </c>
      <c r="C8" s="1">
        <v>431</v>
      </c>
      <c r="D8" s="1">
        <v>543</v>
      </c>
      <c r="E8" s="1">
        <v>799</v>
      </c>
      <c r="F8" s="1">
        <v>858</v>
      </c>
      <c r="G8" s="1">
        <v>636</v>
      </c>
      <c r="H8" s="1">
        <f t="shared" si="0"/>
        <v>3711</v>
      </c>
      <c r="I8" t="s">
        <v>84</v>
      </c>
      <c r="J8" t="s">
        <v>149</v>
      </c>
    </row>
    <row r="9" spans="1:10" x14ac:dyDescent="0.25">
      <c r="A9" s="1" t="s">
        <v>103</v>
      </c>
      <c r="B9" s="1">
        <v>502</v>
      </c>
      <c r="C9" s="1">
        <v>411</v>
      </c>
      <c r="D9" s="1">
        <v>398</v>
      </c>
      <c r="E9" s="1">
        <v>529</v>
      </c>
      <c r="F9" s="1">
        <v>842</v>
      </c>
      <c r="G9" s="1">
        <v>784</v>
      </c>
      <c r="H9" s="1">
        <f t="shared" si="0"/>
        <v>3466</v>
      </c>
      <c r="I9" t="s">
        <v>104</v>
      </c>
      <c r="J9" t="s">
        <v>149</v>
      </c>
    </row>
    <row r="10" spans="1:10" x14ac:dyDescent="0.25">
      <c r="A10" s="1" t="s">
        <v>105</v>
      </c>
      <c r="B10" s="1">
        <v>582</v>
      </c>
      <c r="C10" s="1">
        <v>533</v>
      </c>
      <c r="D10" s="1">
        <v>570</v>
      </c>
      <c r="E10" s="1">
        <v>667</v>
      </c>
      <c r="F10" s="1">
        <v>590</v>
      </c>
      <c r="G10" s="1">
        <v>522</v>
      </c>
      <c r="H10" s="1">
        <f t="shared" si="0"/>
        <v>3464</v>
      </c>
      <c r="I10" t="s">
        <v>106</v>
      </c>
      <c r="J10" t="s">
        <v>149</v>
      </c>
    </row>
    <row r="11" spans="1:10" x14ac:dyDescent="0.25">
      <c r="A11" s="1" t="s">
        <v>22</v>
      </c>
      <c r="B11" s="1">
        <v>475</v>
      </c>
      <c r="C11" s="1">
        <v>340</v>
      </c>
      <c r="D11" s="1">
        <v>325</v>
      </c>
      <c r="E11" s="1">
        <v>462</v>
      </c>
      <c r="F11" s="1">
        <v>592</v>
      </c>
      <c r="G11" s="1">
        <v>595</v>
      </c>
      <c r="H11" s="1">
        <f t="shared" si="0"/>
        <v>2789</v>
      </c>
      <c r="I11" t="s">
        <v>132</v>
      </c>
      <c r="J11" t="s">
        <v>149</v>
      </c>
    </row>
    <row r="12" spans="1:10" x14ac:dyDescent="0.25">
      <c r="A12" s="1" t="s">
        <v>6</v>
      </c>
      <c r="B12" s="1">
        <v>228</v>
      </c>
      <c r="C12" s="1">
        <v>337</v>
      </c>
      <c r="D12" s="1">
        <v>487</v>
      </c>
      <c r="E12" s="1">
        <v>575</v>
      </c>
      <c r="F12" s="1">
        <v>465</v>
      </c>
      <c r="G12" s="1">
        <v>399</v>
      </c>
      <c r="H12" s="1">
        <f t="shared" si="0"/>
        <v>2491</v>
      </c>
      <c r="I12" t="s">
        <v>133</v>
      </c>
      <c r="J12" t="s">
        <v>149</v>
      </c>
    </row>
    <row r="13" spans="1:10" x14ac:dyDescent="0.25">
      <c r="A13" s="1" t="s">
        <v>134</v>
      </c>
      <c r="B13" s="1">
        <v>333</v>
      </c>
      <c r="C13" s="1">
        <v>302</v>
      </c>
      <c r="D13" s="1">
        <v>369</v>
      </c>
      <c r="E13" s="1">
        <v>523</v>
      </c>
      <c r="F13" s="1">
        <v>510</v>
      </c>
      <c r="G13" s="1">
        <v>450</v>
      </c>
      <c r="H13" s="1">
        <f t="shared" si="0"/>
        <v>2487</v>
      </c>
      <c r="I13" t="s">
        <v>85</v>
      </c>
      <c r="J13" t="s">
        <v>149</v>
      </c>
    </row>
    <row r="14" spans="1:10" x14ac:dyDescent="0.25">
      <c r="A14" s="1" t="s">
        <v>79</v>
      </c>
      <c r="B14" s="1">
        <v>383</v>
      </c>
      <c r="C14" s="1">
        <v>293</v>
      </c>
      <c r="D14" s="1">
        <v>339</v>
      </c>
      <c r="E14" s="1">
        <v>446</v>
      </c>
      <c r="F14" s="1">
        <v>513</v>
      </c>
      <c r="G14" s="1">
        <v>435</v>
      </c>
      <c r="H14" s="1">
        <f t="shared" si="0"/>
        <v>2409</v>
      </c>
      <c r="I14" t="s">
        <v>135</v>
      </c>
      <c r="J14" t="s">
        <v>149</v>
      </c>
    </row>
    <row r="15" spans="1:10" x14ac:dyDescent="0.25">
      <c r="A15" s="1" t="s">
        <v>110</v>
      </c>
      <c r="B15" s="1">
        <v>266</v>
      </c>
      <c r="C15" s="1">
        <v>207</v>
      </c>
      <c r="D15" s="1">
        <v>274</v>
      </c>
      <c r="E15" s="1">
        <v>385</v>
      </c>
      <c r="F15" s="1">
        <v>624</v>
      </c>
      <c r="G15" s="1">
        <v>486</v>
      </c>
      <c r="H15" s="1">
        <f t="shared" si="0"/>
        <v>2242</v>
      </c>
      <c r="I15" t="s">
        <v>111</v>
      </c>
      <c r="J15" t="s">
        <v>149</v>
      </c>
    </row>
    <row r="16" spans="1:10" x14ac:dyDescent="0.25">
      <c r="A16" s="1" t="s">
        <v>8</v>
      </c>
      <c r="B16" s="1">
        <v>88</v>
      </c>
      <c r="C16" s="1">
        <v>63</v>
      </c>
      <c r="D16" s="1">
        <v>318</v>
      </c>
      <c r="E16" s="1">
        <v>513</v>
      </c>
      <c r="F16" s="1">
        <v>667</v>
      </c>
      <c r="G16" s="1">
        <v>324</v>
      </c>
      <c r="H16" s="1">
        <f t="shared" si="0"/>
        <v>1973</v>
      </c>
      <c r="I16" t="s">
        <v>9</v>
      </c>
      <c r="J16" t="s">
        <v>149</v>
      </c>
    </row>
    <row r="17" spans="1:10" x14ac:dyDescent="0.25">
      <c r="A17" s="1" t="s">
        <v>14</v>
      </c>
      <c r="B17" s="1">
        <v>150</v>
      </c>
      <c r="C17" s="1">
        <v>164</v>
      </c>
      <c r="D17" s="1">
        <v>273</v>
      </c>
      <c r="E17" s="1">
        <v>346</v>
      </c>
      <c r="F17" s="1">
        <v>397</v>
      </c>
      <c r="G17" s="1">
        <v>246</v>
      </c>
      <c r="H17" s="1">
        <f t="shared" si="0"/>
        <v>1576</v>
      </c>
      <c r="I17" t="s">
        <v>15</v>
      </c>
      <c r="J17" t="s">
        <v>149</v>
      </c>
    </row>
    <row r="18" spans="1:10" x14ac:dyDescent="0.25">
      <c r="A18" s="1" t="s">
        <v>99</v>
      </c>
      <c r="B18" s="1">
        <v>267</v>
      </c>
      <c r="C18" s="1">
        <v>208</v>
      </c>
      <c r="D18" s="1">
        <v>200</v>
      </c>
      <c r="E18" s="1">
        <v>269</v>
      </c>
      <c r="F18" s="1">
        <v>323</v>
      </c>
      <c r="G18" s="1">
        <v>250</v>
      </c>
      <c r="H18" s="1">
        <f t="shared" si="0"/>
        <v>1517</v>
      </c>
      <c r="I18" t="s">
        <v>100</v>
      </c>
      <c r="J18" t="s">
        <v>149</v>
      </c>
    </row>
    <row r="19" spans="1:10" x14ac:dyDescent="0.25">
      <c r="A19" s="1" t="s">
        <v>12</v>
      </c>
      <c r="B19" s="1">
        <v>335</v>
      </c>
      <c r="C19" s="1">
        <v>165</v>
      </c>
      <c r="D19" s="1">
        <v>95</v>
      </c>
      <c r="E19" s="1">
        <v>157</v>
      </c>
      <c r="F19" s="1">
        <v>250</v>
      </c>
      <c r="G19" s="1">
        <v>281</v>
      </c>
      <c r="H19" s="1">
        <f t="shared" si="0"/>
        <v>1283</v>
      </c>
      <c r="I19" t="s">
        <v>13</v>
      </c>
      <c r="J19" t="s">
        <v>149</v>
      </c>
    </row>
    <row r="20" spans="1:10" x14ac:dyDescent="0.25">
      <c r="A20" s="1" t="s">
        <v>28</v>
      </c>
      <c r="B20" s="1">
        <v>92</v>
      </c>
      <c r="C20" s="1">
        <v>72</v>
      </c>
      <c r="D20" s="1">
        <v>126</v>
      </c>
      <c r="E20" s="1">
        <v>170</v>
      </c>
      <c r="F20" s="1">
        <v>202</v>
      </c>
      <c r="G20" s="1">
        <v>169</v>
      </c>
      <c r="H20" s="1">
        <f t="shared" si="0"/>
        <v>831</v>
      </c>
      <c r="I20" t="s">
        <v>29</v>
      </c>
      <c r="J20" t="s">
        <v>149</v>
      </c>
    </row>
    <row r="21" spans="1:10" x14ac:dyDescent="0.25">
      <c r="A21" s="1" t="s">
        <v>2</v>
      </c>
      <c r="B21" s="1">
        <v>51</v>
      </c>
      <c r="C21" s="1">
        <v>19</v>
      </c>
      <c r="D21" s="1">
        <v>77</v>
      </c>
      <c r="E21" s="1">
        <v>220</v>
      </c>
      <c r="F21" s="1">
        <v>210</v>
      </c>
      <c r="G21" s="1">
        <v>139</v>
      </c>
      <c r="H21" s="1">
        <f t="shared" si="0"/>
        <v>716</v>
      </c>
      <c r="I21" t="s">
        <v>3</v>
      </c>
      <c r="J21" t="s">
        <v>149</v>
      </c>
    </row>
    <row r="22" spans="1:10" x14ac:dyDescent="0.25">
      <c r="A22" s="1" t="s">
        <v>69</v>
      </c>
      <c r="B22" s="1">
        <v>73</v>
      </c>
      <c r="C22" s="1">
        <v>66</v>
      </c>
      <c r="D22" s="1">
        <v>113</v>
      </c>
      <c r="E22" s="1">
        <v>123</v>
      </c>
      <c r="F22" s="1">
        <v>108</v>
      </c>
      <c r="G22" s="1">
        <v>101</v>
      </c>
      <c r="H22" s="1">
        <f t="shared" si="0"/>
        <v>584</v>
      </c>
      <c r="I22" t="s">
        <v>70</v>
      </c>
      <c r="J22" t="s">
        <v>149</v>
      </c>
    </row>
    <row r="23" spans="1:10" x14ac:dyDescent="0.25">
      <c r="A23" s="1" t="s">
        <v>50</v>
      </c>
      <c r="B23" s="1">
        <v>13</v>
      </c>
      <c r="C23" s="1">
        <v>15</v>
      </c>
      <c r="D23" s="1">
        <v>100</v>
      </c>
      <c r="E23" s="1">
        <v>203</v>
      </c>
      <c r="F23" s="1">
        <v>114</v>
      </c>
      <c r="G23" s="1">
        <v>49</v>
      </c>
      <c r="H23" s="1">
        <f t="shared" si="0"/>
        <v>494</v>
      </c>
      <c r="I23" t="s">
        <v>51</v>
      </c>
      <c r="J23" t="s">
        <v>149</v>
      </c>
    </row>
    <row r="24" spans="1:10" x14ac:dyDescent="0.25">
      <c r="A24" s="1" t="s">
        <v>86</v>
      </c>
      <c r="B24" s="1">
        <v>41</v>
      </c>
      <c r="C24" s="1">
        <v>41</v>
      </c>
      <c r="D24" s="1">
        <v>35</v>
      </c>
      <c r="E24" s="1">
        <v>122</v>
      </c>
      <c r="F24" s="1">
        <v>110</v>
      </c>
      <c r="G24" s="1">
        <v>101</v>
      </c>
      <c r="H24" s="1">
        <f t="shared" si="0"/>
        <v>450</v>
      </c>
      <c r="I24" t="s">
        <v>87</v>
      </c>
      <c r="J24" t="s">
        <v>149</v>
      </c>
    </row>
    <row r="25" spans="1:10" x14ac:dyDescent="0.25">
      <c r="A25" s="1" t="s">
        <v>113</v>
      </c>
      <c r="B25" s="1">
        <v>32</v>
      </c>
      <c r="C25" s="1">
        <v>40</v>
      </c>
      <c r="D25" s="1">
        <v>73</v>
      </c>
      <c r="E25" s="1">
        <v>112</v>
      </c>
      <c r="F25" s="1">
        <v>98</v>
      </c>
      <c r="G25" s="1">
        <v>57</v>
      </c>
      <c r="H25" s="1">
        <f t="shared" si="0"/>
        <v>412</v>
      </c>
      <c r="I25" t="s">
        <v>114</v>
      </c>
      <c r="J25" t="s">
        <v>149</v>
      </c>
    </row>
    <row r="26" spans="1:10" x14ac:dyDescent="0.25">
      <c r="A26" s="1" t="s">
        <v>65</v>
      </c>
      <c r="B26" s="1">
        <v>35</v>
      </c>
      <c r="C26" s="1">
        <v>32</v>
      </c>
      <c r="D26" s="1">
        <v>43</v>
      </c>
      <c r="E26" s="1">
        <v>69</v>
      </c>
      <c r="F26" s="1">
        <v>149</v>
      </c>
      <c r="G26" s="1">
        <v>54</v>
      </c>
      <c r="H26" s="1">
        <f t="shared" si="0"/>
        <v>382</v>
      </c>
      <c r="I26" t="s">
        <v>66</v>
      </c>
      <c r="J26" t="s">
        <v>149</v>
      </c>
    </row>
    <row r="27" spans="1:10" x14ac:dyDescent="0.25">
      <c r="A27" s="1" t="s">
        <v>115</v>
      </c>
      <c r="B27" s="1">
        <v>25</v>
      </c>
      <c r="C27" s="1">
        <v>17</v>
      </c>
      <c r="D27" s="1">
        <v>61</v>
      </c>
      <c r="E27" s="1">
        <v>105</v>
      </c>
      <c r="F27" s="1">
        <v>89</v>
      </c>
      <c r="G27" s="1">
        <v>68</v>
      </c>
      <c r="H27" s="1">
        <f t="shared" si="0"/>
        <v>365</v>
      </c>
      <c r="I27" t="s">
        <v>116</v>
      </c>
      <c r="J27" t="s">
        <v>149</v>
      </c>
    </row>
    <row r="28" spans="1:10" x14ac:dyDescent="0.25">
      <c r="A28" s="1" t="s">
        <v>48</v>
      </c>
      <c r="B28" s="1">
        <v>29</v>
      </c>
      <c r="C28" s="1">
        <v>25</v>
      </c>
      <c r="D28" s="1">
        <v>63</v>
      </c>
      <c r="E28" s="1">
        <v>66</v>
      </c>
      <c r="F28" s="1">
        <v>50</v>
      </c>
      <c r="G28" s="1">
        <v>48</v>
      </c>
      <c r="H28" s="1">
        <f t="shared" si="0"/>
        <v>281</v>
      </c>
      <c r="I28" t="s">
        <v>49</v>
      </c>
      <c r="J28" t="s">
        <v>149</v>
      </c>
    </row>
    <row r="29" spans="1:10" x14ac:dyDescent="0.25">
      <c r="A29" s="3" t="s">
        <v>42</v>
      </c>
      <c r="B29" s="3">
        <v>30</v>
      </c>
      <c r="C29" s="3">
        <v>50</v>
      </c>
      <c r="D29" s="3">
        <v>39</v>
      </c>
      <c r="E29" s="3">
        <v>72</v>
      </c>
      <c r="F29" s="3">
        <v>36</v>
      </c>
      <c r="G29" s="3">
        <v>36</v>
      </c>
      <c r="H29" s="3">
        <f t="shared" si="0"/>
        <v>263</v>
      </c>
      <c r="I29" t="s">
        <v>43</v>
      </c>
      <c r="J29" t="s">
        <v>150</v>
      </c>
    </row>
    <row r="30" spans="1:10" x14ac:dyDescent="0.25">
      <c r="A30" s="2" t="s">
        <v>34</v>
      </c>
      <c r="B30" s="2">
        <v>108</v>
      </c>
      <c r="C30" s="2">
        <v>34</v>
      </c>
      <c r="D30" s="2">
        <v>1</v>
      </c>
      <c r="E30" s="2">
        <v>2</v>
      </c>
      <c r="F30" s="2">
        <v>6</v>
      </c>
      <c r="G30" s="2">
        <v>76</v>
      </c>
      <c r="H30" s="2">
        <f t="shared" si="0"/>
        <v>227</v>
      </c>
      <c r="I30" t="s">
        <v>35</v>
      </c>
      <c r="J30" t="s">
        <v>151</v>
      </c>
    </row>
    <row r="31" spans="1:10" x14ac:dyDescent="0.25">
      <c r="A31" s="1" t="s">
        <v>40</v>
      </c>
      <c r="B31" s="1">
        <v>12</v>
      </c>
      <c r="C31" s="1">
        <v>14</v>
      </c>
      <c r="D31" s="1">
        <v>32</v>
      </c>
      <c r="E31" s="1">
        <v>44</v>
      </c>
      <c r="F31" s="1">
        <v>66</v>
      </c>
      <c r="G31" s="1">
        <v>59</v>
      </c>
      <c r="H31" s="1">
        <f t="shared" si="0"/>
        <v>227</v>
      </c>
      <c r="I31" t="s">
        <v>41</v>
      </c>
      <c r="J31" t="s">
        <v>149</v>
      </c>
    </row>
    <row r="32" spans="1:10" x14ac:dyDescent="0.25">
      <c r="A32" s="2" t="s">
        <v>119</v>
      </c>
      <c r="B32" s="2">
        <v>89</v>
      </c>
      <c r="C32" s="2">
        <v>49</v>
      </c>
      <c r="D32" s="2">
        <v>3</v>
      </c>
      <c r="E32" s="2">
        <v>7</v>
      </c>
      <c r="F32" s="2">
        <v>8</v>
      </c>
      <c r="G32" s="2">
        <v>42</v>
      </c>
      <c r="H32" s="2">
        <f t="shared" si="0"/>
        <v>198</v>
      </c>
      <c r="I32" t="s">
        <v>120</v>
      </c>
      <c r="J32" t="s">
        <v>151</v>
      </c>
    </row>
    <row r="33" spans="1:10" x14ac:dyDescent="0.25">
      <c r="A33" s="3" t="s">
        <v>44</v>
      </c>
      <c r="B33" s="3">
        <v>19</v>
      </c>
      <c r="C33" s="3">
        <v>16</v>
      </c>
      <c r="D33" s="3">
        <v>12</v>
      </c>
      <c r="E33" s="3">
        <v>18</v>
      </c>
      <c r="F33" s="3">
        <v>31</v>
      </c>
      <c r="G33" s="3">
        <v>24</v>
      </c>
      <c r="H33" s="3">
        <f t="shared" si="0"/>
        <v>120</v>
      </c>
      <c r="I33" t="s">
        <v>45</v>
      </c>
      <c r="J33" t="s">
        <v>150</v>
      </c>
    </row>
    <row r="34" spans="1:10" x14ac:dyDescent="0.25">
      <c r="A34" s="4" t="s">
        <v>71</v>
      </c>
      <c r="B34" s="4">
        <v>11</v>
      </c>
      <c r="C34" s="4">
        <v>16</v>
      </c>
      <c r="D34" s="4">
        <v>23</v>
      </c>
      <c r="E34" s="4">
        <v>20</v>
      </c>
      <c r="F34" s="4">
        <v>8</v>
      </c>
      <c r="G34" s="4">
        <v>17</v>
      </c>
      <c r="H34" s="4">
        <f t="shared" ref="H34:H64" si="1">B34+C34+D34+E34+F34+G34</f>
        <v>95</v>
      </c>
      <c r="I34" t="s">
        <v>72</v>
      </c>
      <c r="J34" t="s">
        <v>152</v>
      </c>
    </row>
    <row r="35" spans="1:10" x14ac:dyDescent="0.25">
      <c r="A35" s="5" t="s">
        <v>32</v>
      </c>
      <c r="B35" s="5">
        <v>17</v>
      </c>
      <c r="C35" s="5">
        <v>13</v>
      </c>
      <c r="D35" s="5">
        <v>3</v>
      </c>
      <c r="E35" s="5">
        <v>3</v>
      </c>
      <c r="F35" s="5">
        <v>22</v>
      </c>
      <c r="G35" s="5">
        <v>29</v>
      </c>
      <c r="H35" s="5">
        <f t="shared" si="1"/>
        <v>87</v>
      </c>
      <c r="I35" t="s">
        <v>33</v>
      </c>
      <c r="J35" t="s">
        <v>153</v>
      </c>
    </row>
    <row r="36" spans="1:10" x14ac:dyDescent="0.25">
      <c r="A36" s="4" t="s">
        <v>75</v>
      </c>
      <c r="B36" s="4">
        <v>7</v>
      </c>
      <c r="C36" s="4">
        <v>12</v>
      </c>
      <c r="D36" s="4">
        <v>18</v>
      </c>
      <c r="E36" s="4">
        <v>10</v>
      </c>
      <c r="F36" s="4">
        <v>13</v>
      </c>
      <c r="G36" s="4">
        <v>21</v>
      </c>
      <c r="H36" s="4">
        <f t="shared" si="1"/>
        <v>81</v>
      </c>
      <c r="I36" t="s">
        <v>76</v>
      </c>
      <c r="J36" t="s">
        <v>152</v>
      </c>
    </row>
    <row r="37" spans="1:10" x14ac:dyDescent="0.25">
      <c r="A37" s="4" t="s">
        <v>24</v>
      </c>
      <c r="B37" s="4">
        <v>9</v>
      </c>
      <c r="C37" s="4">
        <v>3</v>
      </c>
      <c r="D37" s="4">
        <v>4</v>
      </c>
      <c r="E37" s="4">
        <v>10</v>
      </c>
      <c r="F37" s="4">
        <v>26</v>
      </c>
      <c r="G37" s="4">
        <v>17</v>
      </c>
      <c r="H37" s="4">
        <f t="shared" si="1"/>
        <v>69</v>
      </c>
      <c r="I37" t="s">
        <v>25</v>
      </c>
      <c r="J37" t="s">
        <v>152</v>
      </c>
    </row>
    <row r="38" spans="1:10" x14ac:dyDescent="0.25">
      <c r="A38" s="4" t="s">
        <v>117</v>
      </c>
      <c r="B38" s="4">
        <v>5</v>
      </c>
      <c r="C38" s="4">
        <v>21</v>
      </c>
      <c r="D38" s="4">
        <v>7</v>
      </c>
      <c r="E38" s="4">
        <v>10</v>
      </c>
      <c r="F38" s="4">
        <v>10</v>
      </c>
      <c r="G38" s="4">
        <v>10</v>
      </c>
      <c r="H38" s="4">
        <f t="shared" si="1"/>
        <v>63</v>
      </c>
      <c r="I38" t="s">
        <v>118</v>
      </c>
      <c r="J38" t="s">
        <v>152</v>
      </c>
    </row>
    <row r="39" spans="1:10" x14ac:dyDescent="0.25">
      <c r="A39" s="5" t="s">
        <v>96</v>
      </c>
      <c r="B39" s="5">
        <v>3</v>
      </c>
      <c r="C39" s="5">
        <v>1</v>
      </c>
      <c r="D39" s="5">
        <v>9</v>
      </c>
      <c r="E39" s="5">
        <v>9</v>
      </c>
      <c r="F39" s="5">
        <v>15</v>
      </c>
      <c r="G39" s="5">
        <v>14</v>
      </c>
      <c r="H39" s="5">
        <f t="shared" si="1"/>
        <v>51</v>
      </c>
      <c r="I39" t="s">
        <v>97</v>
      </c>
      <c r="J39" t="s">
        <v>153</v>
      </c>
    </row>
    <row r="40" spans="1:10" x14ac:dyDescent="0.25">
      <c r="A40" s="3" t="s">
        <v>88</v>
      </c>
      <c r="B40" s="3">
        <v>10</v>
      </c>
      <c r="C40" s="3">
        <v>4</v>
      </c>
      <c r="D40" s="3">
        <v>1</v>
      </c>
      <c r="E40" s="3">
        <v>0</v>
      </c>
      <c r="F40" s="3">
        <v>13</v>
      </c>
      <c r="G40" s="3">
        <v>13</v>
      </c>
      <c r="H40" s="3">
        <f t="shared" si="1"/>
        <v>41</v>
      </c>
      <c r="I40" t="s">
        <v>89</v>
      </c>
      <c r="J40" t="s">
        <v>150</v>
      </c>
    </row>
    <row r="41" spans="1:10" x14ac:dyDescent="0.25">
      <c r="A41" s="4" t="s">
        <v>81</v>
      </c>
      <c r="B41" s="4">
        <v>9</v>
      </c>
      <c r="C41" s="4">
        <v>10</v>
      </c>
      <c r="D41" s="4">
        <v>6</v>
      </c>
      <c r="E41" s="4">
        <v>3</v>
      </c>
      <c r="F41" s="4">
        <v>2</v>
      </c>
      <c r="G41" s="4">
        <v>7</v>
      </c>
      <c r="H41" s="4">
        <f t="shared" si="1"/>
        <v>37</v>
      </c>
      <c r="I41" t="s">
        <v>82</v>
      </c>
      <c r="J41" t="s">
        <v>152</v>
      </c>
    </row>
    <row r="42" spans="1:10" x14ac:dyDescent="0.25">
      <c r="A42" s="5" t="s">
        <v>0</v>
      </c>
      <c r="B42" s="5">
        <v>3</v>
      </c>
      <c r="C42" s="5">
        <v>8</v>
      </c>
      <c r="D42" s="5">
        <v>3</v>
      </c>
      <c r="E42" s="5">
        <v>7</v>
      </c>
      <c r="F42" s="5">
        <v>6</v>
      </c>
      <c r="G42" s="5">
        <v>9</v>
      </c>
      <c r="H42" s="5">
        <f t="shared" si="1"/>
        <v>36</v>
      </c>
      <c r="I42" t="s">
        <v>1</v>
      </c>
      <c r="J42" t="s">
        <v>153</v>
      </c>
    </row>
    <row r="43" spans="1:10" x14ac:dyDescent="0.25">
      <c r="A43" s="5" t="s">
        <v>16</v>
      </c>
      <c r="B43" s="5">
        <v>6</v>
      </c>
      <c r="C43" s="5">
        <v>9</v>
      </c>
      <c r="D43" s="5">
        <v>0</v>
      </c>
      <c r="E43" s="5">
        <v>2</v>
      </c>
      <c r="F43" s="5">
        <v>6</v>
      </c>
      <c r="G43" s="5">
        <v>10</v>
      </c>
      <c r="H43" s="5">
        <f t="shared" si="1"/>
        <v>33</v>
      </c>
      <c r="I43" t="s">
        <v>17</v>
      </c>
      <c r="J43" t="s">
        <v>153</v>
      </c>
    </row>
    <row r="44" spans="1:10" x14ac:dyDescent="0.25">
      <c r="A44" s="5" t="s">
        <v>18</v>
      </c>
      <c r="B44" s="5">
        <v>2</v>
      </c>
      <c r="C44" s="5">
        <v>0</v>
      </c>
      <c r="D44" s="5">
        <v>9</v>
      </c>
      <c r="E44" s="5">
        <v>19</v>
      </c>
      <c r="F44" s="5">
        <v>0</v>
      </c>
      <c r="G44" s="5">
        <v>2</v>
      </c>
      <c r="H44" s="5">
        <f t="shared" si="1"/>
        <v>32</v>
      </c>
      <c r="I44" t="s">
        <v>19</v>
      </c>
      <c r="J44" t="s">
        <v>153</v>
      </c>
    </row>
    <row r="45" spans="1:10" x14ac:dyDescent="0.25">
      <c r="A45" s="5" t="s">
        <v>10</v>
      </c>
      <c r="B45" s="5">
        <v>4</v>
      </c>
      <c r="C45" s="5">
        <v>5</v>
      </c>
      <c r="D45" s="5">
        <v>2</v>
      </c>
      <c r="E45" s="5">
        <v>4</v>
      </c>
      <c r="F45" s="5">
        <v>11</v>
      </c>
      <c r="G45" s="5">
        <v>4</v>
      </c>
      <c r="H45" s="5">
        <f t="shared" si="1"/>
        <v>30</v>
      </c>
      <c r="I45" t="s">
        <v>11</v>
      </c>
      <c r="J45" t="s">
        <v>153</v>
      </c>
    </row>
    <row r="46" spans="1:10" x14ac:dyDescent="0.25">
      <c r="A46" s="6" t="s">
        <v>136</v>
      </c>
      <c r="B46" s="6">
        <v>0</v>
      </c>
      <c r="C46" s="6">
        <v>0</v>
      </c>
      <c r="D46" s="6">
        <v>0</v>
      </c>
      <c r="E46" s="6">
        <v>16</v>
      </c>
      <c r="F46" s="6">
        <v>0</v>
      </c>
      <c r="G46" s="6">
        <v>1</v>
      </c>
      <c r="H46" s="6">
        <f t="shared" si="1"/>
        <v>17</v>
      </c>
      <c r="I46" t="s">
        <v>62</v>
      </c>
      <c r="J46" t="s">
        <v>154</v>
      </c>
    </row>
    <row r="47" spans="1:10" x14ac:dyDescent="0.25">
      <c r="A47" s="5" t="s">
        <v>101</v>
      </c>
      <c r="B47" s="5">
        <v>1</v>
      </c>
      <c r="C47" s="5">
        <v>3</v>
      </c>
      <c r="D47" s="5">
        <v>0</v>
      </c>
      <c r="E47" s="5">
        <v>7</v>
      </c>
      <c r="F47" s="5">
        <v>2</v>
      </c>
      <c r="G47" s="5">
        <v>3</v>
      </c>
      <c r="H47" s="5">
        <f t="shared" si="1"/>
        <v>16</v>
      </c>
      <c r="I47" t="s">
        <v>102</v>
      </c>
      <c r="J47" t="s">
        <v>153</v>
      </c>
    </row>
    <row r="48" spans="1:10" x14ac:dyDescent="0.25">
      <c r="A48" s="4" t="s">
        <v>138</v>
      </c>
      <c r="B48" s="4">
        <v>3</v>
      </c>
      <c r="C48" s="4">
        <v>5</v>
      </c>
      <c r="D48" s="4">
        <v>0</v>
      </c>
      <c r="E48" s="4">
        <v>2</v>
      </c>
      <c r="F48" s="4">
        <v>3</v>
      </c>
      <c r="G48" s="4">
        <v>3</v>
      </c>
      <c r="H48" s="4">
        <f t="shared" si="1"/>
        <v>16</v>
      </c>
      <c r="I48" t="s">
        <v>137</v>
      </c>
      <c r="J48" t="s">
        <v>155</v>
      </c>
    </row>
    <row r="49" spans="1:10" x14ac:dyDescent="0.25">
      <c r="A49" s="6" t="s">
        <v>56</v>
      </c>
      <c r="B49" s="6">
        <v>0</v>
      </c>
      <c r="C49" s="6">
        <v>3</v>
      </c>
      <c r="D49" s="6">
        <v>4</v>
      </c>
      <c r="E49" s="6">
        <v>2</v>
      </c>
      <c r="F49" s="6">
        <v>4</v>
      </c>
      <c r="G49" s="6">
        <v>2</v>
      </c>
      <c r="H49" s="6">
        <f t="shared" si="1"/>
        <v>15</v>
      </c>
      <c r="I49" t="s">
        <v>57</v>
      </c>
      <c r="J49" t="s">
        <v>154</v>
      </c>
    </row>
    <row r="50" spans="1:10" x14ac:dyDescent="0.25">
      <c r="A50" s="3" t="s">
        <v>73</v>
      </c>
      <c r="B50" s="3">
        <v>3</v>
      </c>
      <c r="C50" s="3">
        <v>8</v>
      </c>
      <c r="D50" s="3">
        <v>0</v>
      </c>
      <c r="E50" s="3">
        <v>1</v>
      </c>
      <c r="F50" s="3">
        <v>0</v>
      </c>
      <c r="G50" s="3">
        <v>1</v>
      </c>
      <c r="H50" s="3">
        <f t="shared" si="1"/>
        <v>13</v>
      </c>
      <c r="I50" t="s">
        <v>74</v>
      </c>
      <c r="J50" t="s">
        <v>150</v>
      </c>
    </row>
    <row r="51" spans="1:10" x14ac:dyDescent="0.25">
      <c r="A51" s="5" t="s">
        <v>58</v>
      </c>
      <c r="B51" s="5">
        <v>2</v>
      </c>
      <c r="C51" s="5">
        <v>1</v>
      </c>
      <c r="D51" s="5">
        <v>0</v>
      </c>
      <c r="E51" s="5">
        <v>2</v>
      </c>
      <c r="F51" s="5">
        <v>4</v>
      </c>
      <c r="G51" s="5">
        <v>1</v>
      </c>
      <c r="H51" s="5">
        <f t="shared" si="1"/>
        <v>10</v>
      </c>
      <c r="I51" t="s">
        <v>59</v>
      </c>
      <c r="J51" t="s">
        <v>153</v>
      </c>
    </row>
    <row r="52" spans="1:10" x14ac:dyDescent="0.25">
      <c r="A52" s="6" t="s">
        <v>60</v>
      </c>
      <c r="B52" s="6">
        <v>0</v>
      </c>
      <c r="C52" s="6">
        <v>3</v>
      </c>
      <c r="D52" s="6">
        <v>0</v>
      </c>
      <c r="E52" s="6">
        <v>0</v>
      </c>
      <c r="F52" s="6">
        <v>5</v>
      </c>
      <c r="G52" s="6">
        <v>0</v>
      </c>
      <c r="H52" s="6">
        <f t="shared" si="1"/>
        <v>8</v>
      </c>
      <c r="I52" t="s">
        <v>139</v>
      </c>
      <c r="J52" t="s">
        <v>154</v>
      </c>
    </row>
    <row r="53" spans="1:10" x14ac:dyDescent="0.25">
      <c r="A53" s="6" t="s">
        <v>77</v>
      </c>
      <c r="B53" s="6">
        <v>0</v>
      </c>
      <c r="C53" s="6">
        <v>0</v>
      </c>
      <c r="D53" s="6">
        <v>4</v>
      </c>
      <c r="E53" s="6">
        <v>0</v>
      </c>
      <c r="F53" s="6">
        <v>3</v>
      </c>
      <c r="G53" s="6">
        <v>1</v>
      </c>
      <c r="H53" s="6">
        <f t="shared" si="1"/>
        <v>8</v>
      </c>
      <c r="I53" t="s">
        <v>78</v>
      </c>
      <c r="J53" t="s">
        <v>154</v>
      </c>
    </row>
    <row r="54" spans="1:10" x14ac:dyDescent="0.25">
      <c r="A54" s="3" t="s">
        <v>38</v>
      </c>
      <c r="B54" s="3">
        <v>3</v>
      </c>
      <c r="C54" s="3">
        <v>1</v>
      </c>
      <c r="D54" s="3">
        <v>0</v>
      </c>
      <c r="E54" s="3">
        <v>1</v>
      </c>
      <c r="F54" s="3">
        <v>2</v>
      </c>
      <c r="G54" s="3">
        <v>0</v>
      </c>
      <c r="H54" s="3">
        <f t="shared" si="1"/>
        <v>7</v>
      </c>
      <c r="I54" t="s">
        <v>39</v>
      </c>
      <c r="J54" t="s">
        <v>150</v>
      </c>
    </row>
    <row r="55" spans="1:10" x14ac:dyDescent="0.25">
      <c r="A55" s="4" t="s">
        <v>63</v>
      </c>
      <c r="B55" s="4">
        <v>0</v>
      </c>
      <c r="C55" s="4">
        <v>0</v>
      </c>
      <c r="D55" s="4">
        <v>0</v>
      </c>
      <c r="E55" s="4">
        <v>3</v>
      </c>
      <c r="F55" s="4">
        <v>2</v>
      </c>
      <c r="G55" s="4">
        <v>1</v>
      </c>
      <c r="H55" s="4">
        <f t="shared" si="1"/>
        <v>6</v>
      </c>
      <c r="I55" t="s">
        <v>64</v>
      </c>
      <c r="J55" t="s">
        <v>155</v>
      </c>
    </row>
    <row r="56" spans="1:10" x14ac:dyDescent="0.25">
      <c r="A56" s="5" t="s">
        <v>67</v>
      </c>
      <c r="B56" s="5">
        <v>0</v>
      </c>
      <c r="C56" s="5">
        <v>1</v>
      </c>
      <c r="D56" s="5">
        <v>1</v>
      </c>
      <c r="E56" s="5">
        <v>1</v>
      </c>
      <c r="F56" s="5">
        <v>1</v>
      </c>
      <c r="G56" s="5">
        <v>0</v>
      </c>
      <c r="H56" s="5">
        <f t="shared" si="1"/>
        <v>4</v>
      </c>
      <c r="I56" t="s">
        <v>68</v>
      </c>
      <c r="J56" t="s">
        <v>153</v>
      </c>
    </row>
    <row r="57" spans="1:10" x14ac:dyDescent="0.25">
      <c r="A57" s="5" t="s">
        <v>140</v>
      </c>
      <c r="B57" s="5">
        <v>2</v>
      </c>
      <c r="C57" s="5">
        <v>1</v>
      </c>
      <c r="D57" s="5">
        <v>0</v>
      </c>
      <c r="E57" s="5">
        <v>1</v>
      </c>
      <c r="F57" s="5">
        <v>0</v>
      </c>
      <c r="G57" s="5">
        <v>0</v>
      </c>
      <c r="H57" s="5">
        <f t="shared" si="1"/>
        <v>4</v>
      </c>
      <c r="I57" t="s">
        <v>80</v>
      </c>
      <c r="J57" t="s">
        <v>153</v>
      </c>
    </row>
    <row r="58" spans="1:10" x14ac:dyDescent="0.25">
      <c r="A58" t="s">
        <v>90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f t="shared" si="1"/>
        <v>3</v>
      </c>
      <c r="I58" t="s">
        <v>141</v>
      </c>
      <c r="J58" t="s">
        <v>154</v>
      </c>
    </row>
    <row r="59" spans="1:10" x14ac:dyDescent="0.25">
      <c r="A59" t="s">
        <v>92</v>
      </c>
      <c r="B59">
        <v>1</v>
      </c>
      <c r="C59">
        <v>0</v>
      </c>
      <c r="D59">
        <v>0</v>
      </c>
      <c r="E59">
        <v>1</v>
      </c>
      <c r="F59">
        <v>1</v>
      </c>
      <c r="G59">
        <v>0</v>
      </c>
      <c r="H59">
        <f t="shared" si="1"/>
        <v>3</v>
      </c>
      <c r="I59" t="s">
        <v>142</v>
      </c>
      <c r="J59" t="s">
        <v>152</v>
      </c>
    </row>
    <row r="60" spans="1:10" x14ac:dyDescent="0.25">
      <c r="A60" t="s">
        <v>23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f t="shared" si="1"/>
        <v>2</v>
      </c>
      <c r="I60" t="s">
        <v>143</v>
      </c>
      <c r="J60" t="s">
        <v>152</v>
      </c>
    </row>
    <row r="61" spans="1:10" x14ac:dyDescent="0.25">
      <c r="A61" t="s">
        <v>26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f t="shared" si="1"/>
        <v>2</v>
      </c>
      <c r="I61" t="s">
        <v>27</v>
      </c>
      <c r="J61" t="s">
        <v>152</v>
      </c>
    </row>
    <row r="62" spans="1:10" x14ac:dyDescent="0.25">
      <c r="A62" t="s">
        <v>46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f t="shared" si="1"/>
        <v>2</v>
      </c>
      <c r="I62" t="s">
        <v>47</v>
      </c>
      <c r="J62" t="s">
        <v>154</v>
      </c>
    </row>
    <row r="63" spans="1:10" x14ac:dyDescent="0.25">
      <c r="A63" t="s">
        <v>145</v>
      </c>
      <c r="B63">
        <v>0</v>
      </c>
      <c r="C63">
        <v>0</v>
      </c>
      <c r="D63">
        <v>0</v>
      </c>
      <c r="E63">
        <v>2</v>
      </c>
      <c r="F63">
        <v>0</v>
      </c>
      <c r="G63">
        <v>0</v>
      </c>
      <c r="H63">
        <f t="shared" si="1"/>
        <v>2</v>
      </c>
      <c r="I63" t="s">
        <v>144</v>
      </c>
      <c r="J63" t="s">
        <v>154</v>
      </c>
    </row>
    <row r="64" spans="1:10" x14ac:dyDescent="0.25">
      <c r="A64" t="s">
        <v>146</v>
      </c>
      <c r="B64">
        <v>0</v>
      </c>
      <c r="C64">
        <v>1</v>
      </c>
      <c r="D64">
        <v>1</v>
      </c>
      <c r="E64">
        <v>0</v>
      </c>
      <c r="F64">
        <v>0</v>
      </c>
      <c r="G64">
        <v>0</v>
      </c>
      <c r="H64">
        <f t="shared" si="1"/>
        <v>2</v>
      </c>
      <c r="I64" t="s">
        <v>109</v>
      </c>
      <c r="J64" t="s">
        <v>152</v>
      </c>
    </row>
    <row r="65" spans="1:10" x14ac:dyDescent="0.25">
      <c r="A65" t="s">
        <v>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f t="shared" ref="H65:H96" si="2">B65+C65+D65+E65+F65+G65</f>
        <v>1</v>
      </c>
      <c r="I65" t="s">
        <v>95</v>
      </c>
      <c r="J65" t="s">
        <v>152</v>
      </c>
    </row>
    <row r="66" spans="1:10" x14ac:dyDescent="0.25">
      <c r="A66" t="s">
        <v>107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f t="shared" si="2"/>
        <v>1</v>
      </c>
      <c r="I66" t="s">
        <v>147</v>
      </c>
      <c r="J66" t="s">
        <v>152</v>
      </c>
    </row>
    <row r="67" spans="1:10" x14ac:dyDescent="0.25">
      <c r="H67">
        <f t="shared" si="2"/>
        <v>0</v>
      </c>
      <c r="I67" t="s">
        <v>1</v>
      </c>
    </row>
    <row r="68" spans="1:10" x14ac:dyDescent="0.25">
      <c r="H68">
        <f t="shared" si="2"/>
        <v>0</v>
      </c>
      <c r="I68" t="s">
        <v>3</v>
      </c>
    </row>
    <row r="69" spans="1:10" x14ac:dyDescent="0.25">
      <c r="H69">
        <f t="shared" si="2"/>
        <v>0</v>
      </c>
      <c r="I69" t="s">
        <v>5</v>
      </c>
    </row>
    <row r="70" spans="1:10" x14ac:dyDescent="0.25">
      <c r="H70">
        <f t="shared" si="2"/>
        <v>0</v>
      </c>
      <c r="I70" t="s">
        <v>7</v>
      </c>
    </row>
    <row r="71" spans="1:10" x14ac:dyDescent="0.25">
      <c r="H71">
        <f t="shared" si="2"/>
        <v>0</v>
      </c>
      <c r="I71" t="s">
        <v>9</v>
      </c>
    </row>
    <row r="72" spans="1:10" x14ac:dyDescent="0.25">
      <c r="H72">
        <f t="shared" si="2"/>
        <v>0</v>
      </c>
      <c r="I72" t="s">
        <v>11</v>
      </c>
    </row>
    <row r="73" spans="1:10" x14ac:dyDescent="0.25">
      <c r="H73">
        <f t="shared" si="2"/>
        <v>0</v>
      </c>
      <c r="I73" t="s">
        <v>13</v>
      </c>
    </row>
    <row r="74" spans="1:10" x14ac:dyDescent="0.25">
      <c r="H74">
        <f t="shared" si="2"/>
        <v>0</v>
      </c>
      <c r="I74" t="s">
        <v>15</v>
      </c>
    </row>
    <row r="75" spans="1:10" x14ac:dyDescent="0.25">
      <c r="H75">
        <f t="shared" si="2"/>
        <v>0</v>
      </c>
      <c r="I75" t="s">
        <v>17</v>
      </c>
    </row>
    <row r="76" spans="1:10" x14ac:dyDescent="0.25">
      <c r="H76">
        <f t="shared" si="2"/>
        <v>0</v>
      </c>
      <c r="I76" t="s">
        <v>19</v>
      </c>
    </row>
    <row r="77" spans="1:10" x14ac:dyDescent="0.25">
      <c r="H77">
        <f t="shared" si="2"/>
        <v>0</v>
      </c>
      <c r="I77" t="s">
        <v>21</v>
      </c>
    </row>
    <row r="78" spans="1:10" x14ac:dyDescent="0.25">
      <c r="H78">
        <f t="shared" si="2"/>
        <v>0</v>
      </c>
      <c r="I78" t="s">
        <v>121</v>
      </c>
    </row>
    <row r="79" spans="1:10" x14ac:dyDescent="0.25">
      <c r="H79">
        <f t="shared" si="2"/>
        <v>0</v>
      </c>
      <c r="I79" t="s">
        <v>122</v>
      </c>
    </row>
    <row r="80" spans="1:10" x14ac:dyDescent="0.25">
      <c r="H80">
        <f t="shared" si="2"/>
        <v>0</v>
      </c>
      <c r="I80" t="s">
        <v>25</v>
      </c>
    </row>
    <row r="81" spans="8:9" x14ac:dyDescent="0.25">
      <c r="H81">
        <f t="shared" si="2"/>
        <v>0</v>
      </c>
      <c r="I81" t="s">
        <v>27</v>
      </c>
    </row>
    <row r="82" spans="8:9" x14ac:dyDescent="0.25">
      <c r="H82">
        <f t="shared" si="2"/>
        <v>0</v>
      </c>
      <c r="I82" t="s">
        <v>29</v>
      </c>
    </row>
    <row r="83" spans="8:9" x14ac:dyDescent="0.25">
      <c r="H83">
        <f t="shared" si="2"/>
        <v>0</v>
      </c>
      <c r="I83" t="s">
        <v>31</v>
      </c>
    </row>
    <row r="84" spans="8:9" x14ac:dyDescent="0.25">
      <c r="H84">
        <f t="shared" si="2"/>
        <v>0</v>
      </c>
      <c r="I84" t="s">
        <v>33</v>
      </c>
    </row>
    <row r="85" spans="8:9" x14ac:dyDescent="0.25">
      <c r="H85">
        <f t="shared" si="2"/>
        <v>0</v>
      </c>
      <c r="I85" t="s">
        <v>35</v>
      </c>
    </row>
    <row r="86" spans="8:9" x14ac:dyDescent="0.25">
      <c r="H86">
        <f t="shared" si="2"/>
        <v>0</v>
      </c>
      <c r="I86" t="s">
        <v>37</v>
      </c>
    </row>
    <row r="87" spans="8:9" x14ac:dyDescent="0.25">
      <c r="H87">
        <f t="shared" si="2"/>
        <v>0</v>
      </c>
      <c r="I87" t="s">
        <v>39</v>
      </c>
    </row>
    <row r="88" spans="8:9" x14ac:dyDescent="0.25">
      <c r="H88">
        <f t="shared" si="2"/>
        <v>0</v>
      </c>
      <c r="I88" t="s">
        <v>41</v>
      </c>
    </row>
    <row r="89" spans="8:9" x14ac:dyDescent="0.25">
      <c r="H89">
        <f t="shared" si="2"/>
        <v>0</v>
      </c>
      <c r="I89" t="s">
        <v>43</v>
      </c>
    </row>
    <row r="90" spans="8:9" x14ac:dyDescent="0.25">
      <c r="H90">
        <f t="shared" si="2"/>
        <v>0</v>
      </c>
      <c r="I90" t="s">
        <v>45</v>
      </c>
    </row>
    <row r="91" spans="8:9" x14ac:dyDescent="0.25">
      <c r="H91">
        <f t="shared" si="2"/>
        <v>0</v>
      </c>
      <c r="I91" t="s">
        <v>47</v>
      </c>
    </row>
    <row r="92" spans="8:9" x14ac:dyDescent="0.25">
      <c r="H92">
        <f t="shared" si="2"/>
        <v>0</v>
      </c>
      <c r="I92" t="s">
        <v>49</v>
      </c>
    </row>
    <row r="93" spans="8:9" x14ac:dyDescent="0.25">
      <c r="H93">
        <f t="shared" si="2"/>
        <v>0</v>
      </c>
      <c r="I93" t="s">
        <v>51</v>
      </c>
    </row>
    <row r="94" spans="8:9" x14ac:dyDescent="0.25">
      <c r="H94">
        <f t="shared" si="2"/>
        <v>0</v>
      </c>
      <c r="I94" t="s">
        <v>53</v>
      </c>
    </row>
    <row r="95" spans="8:9" x14ac:dyDescent="0.25">
      <c r="H95">
        <f t="shared" si="2"/>
        <v>0</v>
      </c>
      <c r="I95" t="s">
        <v>55</v>
      </c>
    </row>
    <row r="96" spans="8:9" x14ac:dyDescent="0.25">
      <c r="H96">
        <f t="shared" si="2"/>
        <v>0</v>
      </c>
      <c r="I96" t="s">
        <v>57</v>
      </c>
    </row>
    <row r="97" spans="8:9" x14ac:dyDescent="0.25">
      <c r="H97">
        <f t="shared" ref="H97:H126" si="3">B97+C97+D97+E97+F97+G97</f>
        <v>0</v>
      </c>
      <c r="I97" t="s">
        <v>59</v>
      </c>
    </row>
    <row r="98" spans="8:9" x14ac:dyDescent="0.25">
      <c r="H98">
        <f t="shared" si="3"/>
        <v>0</v>
      </c>
      <c r="I98" t="s">
        <v>61</v>
      </c>
    </row>
    <row r="99" spans="8:9" x14ac:dyDescent="0.25">
      <c r="H99">
        <f t="shared" si="3"/>
        <v>0</v>
      </c>
      <c r="I99" t="s">
        <v>62</v>
      </c>
    </row>
    <row r="100" spans="8:9" x14ac:dyDescent="0.25">
      <c r="H100">
        <f t="shared" si="3"/>
        <v>0</v>
      </c>
      <c r="I100" t="s">
        <v>64</v>
      </c>
    </row>
    <row r="101" spans="8:9" x14ac:dyDescent="0.25">
      <c r="H101">
        <f t="shared" si="3"/>
        <v>0</v>
      </c>
      <c r="I101" t="s">
        <v>66</v>
      </c>
    </row>
    <row r="102" spans="8:9" x14ac:dyDescent="0.25">
      <c r="H102">
        <f t="shared" si="3"/>
        <v>0</v>
      </c>
      <c r="I102" t="s">
        <v>68</v>
      </c>
    </row>
    <row r="103" spans="8:9" x14ac:dyDescent="0.25">
      <c r="H103">
        <f t="shared" si="3"/>
        <v>0</v>
      </c>
      <c r="I103" t="s">
        <v>70</v>
      </c>
    </row>
    <row r="104" spans="8:9" x14ac:dyDescent="0.25">
      <c r="H104">
        <f t="shared" si="3"/>
        <v>0</v>
      </c>
      <c r="I104" t="s">
        <v>72</v>
      </c>
    </row>
    <row r="105" spans="8:9" x14ac:dyDescent="0.25">
      <c r="H105">
        <f t="shared" si="3"/>
        <v>0</v>
      </c>
      <c r="I105" t="s">
        <v>74</v>
      </c>
    </row>
    <row r="106" spans="8:9" x14ac:dyDescent="0.25">
      <c r="H106">
        <f t="shared" si="3"/>
        <v>0</v>
      </c>
      <c r="I106" t="s">
        <v>76</v>
      </c>
    </row>
    <row r="107" spans="8:9" x14ac:dyDescent="0.25">
      <c r="H107">
        <f t="shared" si="3"/>
        <v>0</v>
      </c>
      <c r="I107" t="s">
        <v>78</v>
      </c>
    </row>
    <row r="108" spans="8:9" x14ac:dyDescent="0.25">
      <c r="H108">
        <f t="shared" si="3"/>
        <v>0</v>
      </c>
      <c r="I108" t="s">
        <v>123</v>
      </c>
    </row>
    <row r="109" spans="8:9" x14ac:dyDescent="0.25">
      <c r="H109">
        <f t="shared" si="3"/>
        <v>0</v>
      </c>
      <c r="I109" t="s">
        <v>80</v>
      </c>
    </row>
    <row r="110" spans="8:9" x14ac:dyDescent="0.25">
      <c r="H110">
        <f t="shared" si="3"/>
        <v>0</v>
      </c>
      <c r="I110" t="s">
        <v>82</v>
      </c>
    </row>
    <row r="111" spans="8:9" x14ac:dyDescent="0.25">
      <c r="H111">
        <f t="shared" si="3"/>
        <v>0</v>
      </c>
      <c r="I111" t="s">
        <v>84</v>
      </c>
    </row>
    <row r="112" spans="8:9" x14ac:dyDescent="0.25">
      <c r="H112">
        <f t="shared" si="3"/>
        <v>0</v>
      </c>
      <c r="I112" t="s">
        <v>85</v>
      </c>
    </row>
    <row r="113" spans="8:9" x14ac:dyDescent="0.25">
      <c r="H113">
        <f t="shared" si="3"/>
        <v>0</v>
      </c>
      <c r="I113" t="s">
        <v>87</v>
      </c>
    </row>
    <row r="114" spans="8:9" x14ac:dyDescent="0.25">
      <c r="H114">
        <f t="shared" si="3"/>
        <v>0</v>
      </c>
      <c r="I114" t="s">
        <v>89</v>
      </c>
    </row>
    <row r="115" spans="8:9" x14ac:dyDescent="0.25">
      <c r="H115">
        <f t="shared" si="3"/>
        <v>0</v>
      </c>
      <c r="I115" t="s">
        <v>91</v>
      </c>
    </row>
    <row r="116" spans="8:9" x14ac:dyDescent="0.25">
      <c r="H116">
        <f t="shared" si="3"/>
        <v>0</v>
      </c>
      <c r="I116" t="s">
        <v>93</v>
      </c>
    </row>
    <row r="117" spans="8:9" x14ac:dyDescent="0.25">
      <c r="H117">
        <f t="shared" si="3"/>
        <v>0</v>
      </c>
      <c r="I117" t="s">
        <v>95</v>
      </c>
    </row>
    <row r="118" spans="8:9" x14ac:dyDescent="0.25">
      <c r="H118">
        <f t="shared" si="3"/>
        <v>0</v>
      </c>
      <c r="I118" t="s">
        <v>97</v>
      </c>
    </row>
    <row r="119" spans="8:9" x14ac:dyDescent="0.25">
      <c r="H119">
        <f t="shared" si="3"/>
        <v>0</v>
      </c>
      <c r="I119" t="s">
        <v>98</v>
      </c>
    </row>
    <row r="120" spans="8:9" x14ac:dyDescent="0.25">
      <c r="H120">
        <f t="shared" si="3"/>
        <v>0</v>
      </c>
      <c r="I120" t="s">
        <v>64</v>
      </c>
    </row>
    <row r="121" spans="8:9" x14ac:dyDescent="0.25">
      <c r="H121">
        <f t="shared" si="3"/>
        <v>0</v>
      </c>
      <c r="I121" t="s">
        <v>100</v>
      </c>
    </row>
    <row r="122" spans="8:9" x14ac:dyDescent="0.25">
      <c r="H122">
        <f t="shared" si="3"/>
        <v>0</v>
      </c>
      <c r="I122" t="s">
        <v>102</v>
      </c>
    </row>
    <row r="123" spans="8:9" x14ac:dyDescent="0.25">
      <c r="H123">
        <f t="shared" si="3"/>
        <v>0</v>
      </c>
      <c r="I123" t="s">
        <v>104</v>
      </c>
    </row>
    <row r="124" spans="8:9" x14ac:dyDescent="0.25">
      <c r="H124">
        <f t="shared" si="3"/>
        <v>0</v>
      </c>
      <c r="I124" t="s">
        <v>106</v>
      </c>
    </row>
    <row r="125" spans="8:9" x14ac:dyDescent="0.25">
      <c r="H125">
        <f t="shared" si="3"/>
        <v>0</v>
      </c>
      <c r="I125" t="s">
        <v>108</v>
      </c>
    </row>
    <row r="126" spans="8:9" x14ac:dyDescent="0.25">
      <c r="H126">
        <f t="shared" si="3"/>
        <v>0</v>
      </c>
      <c r="I126" t="s">
        <v>109</v>
      </c>
    </row>
    <row r="127" spans="8:9" x14ac:dyDescent="0.25">
      <c r="H127">
        <f t="shared" ref="H127:H132" si="4">B127+C127+D127+E127+F127+G127</f>
        <v>0</v>
      </c>
      <c r="I127" t="s">
        <v>111</v>
      </c>
    </row>
    <row r="128" spans="8:9" x14ac:dyDescent="0.25">
      <c r="H128">
        <f t="shared" si="4"/>
        <v>0</v>
      </c>
      <c r="I128" t="s">
        <v>112</v>
      </c>
    </row>
    <row r="129" spans="8:9" x14ac:dyDescent="0.25">
      <c r="H129">
        <f t="shared" si="4"/>
        <v>0</v>
      </c>
      <c r="I129" t="s">
        <v>114</v>
      </c>
    </row>
    <row r="130" spans="8:9" x14ac:dyDescent="0.25">
      <c r="H130">
        <f t="shared" si="4"/>
        <v>0</v>
      </c>
      <c r="I130" t="s">
        <v>116</v>
      </c>
    </row>
    <row r="131" spans="8:9" x14ac:dyDescent="0.25">
      <c r="H131">
        <f t="shared" si="4"/>
        <v>0</v>
      </c>
      <c r="I131" t="s">
        <v>118</v>
      </c>
    </row>
    <row r="132" spans="8:9" x14ac:dyDescent="0.25">
      <c r="H132">
        <f t="shared" si="4"/>
        <v>0</v>
      </c>
      <c r="I132" t="s">
        <v>120</v>
      </c>
    </row>
  </sheetData>
  <sortState xmlns:xlrd2="http://schemas.microsoft.com/office/spreadsheetml/2017/richdata2" ref="A2:H142">
    <sortCondition descending="1" ref="H2:H142"/>
  </sortState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McInnes, Gullara (NCMI, Cairns)</dc:creator>
  <cp:lastModifiedBy>Kellie, Dax (NCMI, Eveleigh)</cp:lastModifiedBy>
  <dcterms:created xsi:type="dcterms:W3CDTF">2026-02-10T14:15:22Z</dcterms:created>
  <dcterms:modified xsi:type="dcterms:W3CDTF">2026-04-20T04:30:41Z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2026-02-10T14:30:02Z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f6371a44-0992-44b8-9d15-966debc00a41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